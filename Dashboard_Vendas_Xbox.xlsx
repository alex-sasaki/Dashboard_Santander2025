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sak\Downloads\"/>
    </mc:Choice>
  </mc:AlternateContent>
  <xr:revisionPtr revIDLastSave="0" documentId="13_ncr:1_{B5E44185-6813-4D20-8727-5107EAD9175C}" xr6:coauthVersionLast="47" xr6:coauthVersionMax="47" xr10:uidLastSave="{00000000-0000-0000-0000-000000000000}"/>
  <bookViews>
    <workbookView xWindow="-120" yWindow="-120" windowWidth="29040" windowHeight="157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3" l="1"/>
  <c r="D29" i="3"/>
</calcChain>
</file>

<file path=xl/sharedStrings.xml><?xml version="1.0" encoding="utf-8"?>
<sst xmlns="http://schemas.openxmlformats.org/spreadsheetml/2006/main" count="2022" uniqueCount="323">
  <si>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</si>
  <si>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</si>
  <si>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</si>
  <si>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</si>
  <si>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</si>
  <si>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</si>
  <si>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</si>
  <si>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</si>
  <si>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</si>
  <si>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</si>
  <si>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</si>
  <si>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</si>
  <si>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</si>
  <si>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</si>
  <si>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</si>
  <si>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</si>
  <si>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</si>
  <si>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</si>
  <si>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</si>
  <si>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</si>
  <si>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</si>
  <si>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</si>
  <si>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</si>
  <si>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</si>
  <si>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</si>
  <si>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</si>
  <si>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</si>
  <si>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</si>
  <si>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</si>
  <si>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</si>
  <si>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</si>
  <si>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</si>
  <si>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</si>
  <si>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</si>
  <si>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</si>
  <si>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</si>
  <si>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</si>
  <si>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</si>
  <si>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</si>
  <si>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</si>
  <si>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</si>
  <si>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</si>
  <si>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</si>
  <si>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</si>
  <si>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</si>
  <si>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</si>
  <si>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</si>
  <si>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</si>
  <si>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</si>
  <si>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</si>
  <si>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</si>
  <si>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</si>
  <si>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</si>
  <si>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</si>
  <si>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</si>
  <si>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</si>
  <si>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</si>
  <si>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</si>
  <si>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</si>
  <si>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</si>
  <si>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</si>
  <si>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</si>
  <si>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</si>
  <si>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</si>
  <si>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</si>
  <si>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</si>
  <si>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</si>
  <si>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</si>
  <si>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</si>
  <si>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</si>
  <si>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</si>
  <si>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</si>
  <si>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</si>
  <si>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</si>
  <si>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</si>
  <si>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</si>
  <si>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</si>
  <si>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</si>
  <si>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</si>
  <si>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</si>
  <si>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</si>
  <si>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</si>
  <si>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</si>
  <si>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</si>
  <si>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</si>
  <si>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</si>
  <si>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</si>
  <si>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</si>
  <si>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</si>
  <si>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</si>
  <si>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</si>
  <si>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</si>
  <si>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</si>
  <si>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</si>
  <si>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</si>
  <si>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</si>
  <si>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</si>
  <si>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</si>
  <si>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</si>
  <si>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</si>
  <si>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</si>
  <si>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</si>
  <si>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</si>
  <si>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</si>
  <si>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</si>
  <si>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</si>
  <si>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</si>
  <si>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</si>
  <si>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</si>
  <si>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</si>
  <si>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</si>
  <si>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</si>
  <si>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</si>
  <si>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</si>
  <si>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</si>
  <si>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</si>
  <si>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</si>
  <si>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</si>
  <si>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</si>
  <si>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</si>
  <si>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</si>
  <si>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</si>
  <si>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</si>
  <si>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</si>
  <si>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</si>
  <si>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</si>
  <si>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</si>
  <si>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</si>
  <si>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</si>
  <si>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</si>
  <si>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</si>
  <si>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</si>
  <si>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</si>
  <si>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</si>
  <si>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</si>
  <si>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</si>
  <si>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</si>
  <si>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</si>
  <si>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</si>
  <si>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</si>
  <si>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</si>
  <si>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</si>
  <si>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</si>
  <si>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</si>
  <si>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</si>
  <si>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</si>
  <si>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</si>
  <si>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</si>
  <si>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</si>
  <si>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</si>
  <si>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</si>
  <si>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</si>
  <si>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</si>
  <si>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</si>
  <si>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</si>
  <si>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</si>
  <si>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</si>
  <si>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</si>
  <si>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</si>
  <si>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</si>
  <si>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</si>
  <si>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</si>
  <si>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</si>
  <si>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</si>
  <si>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</si>
  <si>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</si>
  <si>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</si>
  <si>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</si>
  <si>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</si>
  <si>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</si>
  <si>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</si>
  <si>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</si>
  <si>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</si>
  <si>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</si>
  <si>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</si>
  <si>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</si>
  <si>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</si>
  <si>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</si>
  <si>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</si>
  <si>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</si>
  <si>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</si>
  <si>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</si>
  <si>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</si>
  <si>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</si>
  <si>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</si>
  <si>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</si>
  <si>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</si>
  <si>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</si>
  <si>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</si>
  <si>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</si>
  <si>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</si>
  <si>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</si>
  <si>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</si>
  <si>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</si>
  <si>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</si>
  <si>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</si>
  <si>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</si>
  <si>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</si>
  <si>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</si>
  <si>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</si>
  <si>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</si>
  <si>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</si>
  <si>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</si>
  <si>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</si>
  <si>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</si>
  <si>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</si>
  <si>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</si>
  <si>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</si>
  <si>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</si>
  <si>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</si>
  <si>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</si>
  <si>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</si>
  <si>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</si>
  <si>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</si>
  <si>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</si>
  <si>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</si>
  <si>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</si>
  <si>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</si>
  <si>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</si>
  <si>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</si>
  <si>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</si>
  <si>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</si>
  <si>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</si>
  <si>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</si>
  <si>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</si>
  <si>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</si>
  <si>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</si>
  <si>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</si>
  <si>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</si>
  <si>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</si>
  <si>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</si>
  <si>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</si>
  <si>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</si>
  <si>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</si>
  <si>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</si>
  <si>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</si>
  <si>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</si>
  <si>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</si>
  <si>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</si>
  <si>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</si>
  <si>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</si>
  <si>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</si>
  <si>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</si>
  <si>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</si>
  <si>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</si>
  <si>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</si>
  <si>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</si>
  <si>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</si>
  <si>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</si>
  <si>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</si>
  <si>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</si>
  <si>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</si>
  <si>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</si>
  <si>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</si>
  <si>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</si>
  <si>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</si>
  <si>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</si>
  <si>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</si>
  <si>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</si>
  <si>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</si>
  <si>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</si>
  <si>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</si>
  <si>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</si>
  <si>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</si>
  <si>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</si>
  <si>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</si>
  <si>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</si>
  <si>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</si>
  <si>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</si>
  <si>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</si>
  <si>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</si>
  <si>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</si>
  <si>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</si>
  <si>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</si>
  <si>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</si>
  <si>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</si>
  <si>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</si>
  <si>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</si>
  <si>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</si>
  <si>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</si>
  <si>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</si>
  <si>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</si>
  <si>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</si>
  <si>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</si>
  <si>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</si>
  <si>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</si>
  <si>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</si>
  <si>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</si>
  <si>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</si>
  <si>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</si>
  <si>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</si>
  <si>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</si>
  <si>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</si>
  <si>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</si>
  <si>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</si>
  <si>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</si>
  <si>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</si>
  <si>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</si>
  <si>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</si>
  <si>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</si>
  <si>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</si>
  <si>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</si>
  <si>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</si>
  <si>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</si>
  <si>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</si>
  <si>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</si>
  <si>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</si>
  <si>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</si>
  <si>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</si>
  <si>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</si>
  <si>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</si>
  <si>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</si>
  <si>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</si>
  <si>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Qual o faturamento dos planos?</t>
  </si>
  <si>
    <t>Qual o faturamento dos planos separados por autorenovação e renovação manual?</t>
  </si>
  <si>
    <t>Soma de Total Value</t>
  </si>
  <si>
    <t>Total Geral</t>
  </si>
  <si>
    <t>Qual o total de assinaturas do EA Play?</t>
  </si>
  <si>
    <t>XBOX GAMEPASS SUBSCRIPTION SALES</t>
  </si>
  <si>
    <t>Soma de EA Play Season Pass</t>
  </si>
  <si>
    <t>Qual o total de assinaturas do Minecraft Season pass?</t>
  </si>
  <si>
    <t>Soma de Minecraft Season Pass Price</t>
  </si>
  <si>
    <t>Calculation period: 01/01/2024 - 31/12/2024 / Update date: 21/01/2026 21:00:00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</si>
</sst>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Segoe UI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/>
    <xf numFmtId="0" fontId="0" fillId="0" borderId="0" xfId="0" applyNumberFormat="1"/>
    <xf numFmtId="0" fontId="1" fillId="0" borderId="2" xfId="1" applyFill="1" applyBorder="1"/>
    <xf numFmtId="164" fontId="0" fillId="0" borderId="0" xfId="0" applyNumberFormat="1"/>
    <xf numFmtId="44" fontId="0" fillId="0" borderId="0" xfId="2" applyFont="1"/>
    <xf numFmtId="0" fontId="1" fillId="0" borderId="0" xfId="1" applyFill="1" applyBorder="1"/>
    <xf numFmtId="0" fontId="4" fillId="0" borderId="2" xfId="1" applyFont="1" applyFill="1" applyBorder="1" applyAlignment="1">
      <alignment horizontal="left" indent="4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2C55E"/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DD04D86-A213-4454-99BD-2EA0A621EE61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FFFFFF"/>
      <color rgb="FF5BF6A8"/>
      <color rgb="FF5487D1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[Dashboard_ALEX.xlsx]C̳álculos!tbl_total_anual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8-4278-8678-B2A652B20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8584704"/>
        <c:axId val="1638581376"/>
      </c:barChart>
      <c:catAx>
        <c:axId val="163858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581376"/>
        <c:crosses val="autoZero"/>
        <c:auto val="1"/>
        <c:lblAlgn val="ctr"/>
        <c:lblOffset val="100"/>
        <c:noMultiLvlLbl val="0"/>
      </c:catAx>
      <c:valAx>
        <c:axId val="163858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5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38100</xdr:colOff>
      <xdr:row>22</xdr:row>
      <xdr:rowOff>47625</xdr:rowOff>
    </xdr:from>
    <xdr:to>
      <xdr:col>3</xdr:col>
      <xdr:colOff>38100</xdr:colOff>
      <xdr:row>28</xdr:row>
      <xdr:rowOff>123825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  <a:ext uri="{147F2762-F138-4A5C-976F-8EAC2B608ADB}">
              <a16:predDERef xmlns:a16="http://schemas.microsoft.com/office/drawing/2014/main" pred="{EAED0B10-9B9B-4C87-AA2F-D30DEB957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39102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112620</xdr:colOff>
      <xdr:row>0</xdr:row>
      <xdr:rowOff>145676</xdr:rowOff>
    </xdr:from>
    <xdr:to>
      <xdr:col>2</xdr:col>
      <xdr:colOff>470648</xdr:colOff>
      <xdr:row>2</xdr:row>
      <xdr:rowOff>261657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E5365C-8B99-4349-A254-8CFC766CE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1" t="16822" r="70957" b="10280"/>
        <a:stretch>
          <a:fillRect/>
        </a:stretch>
      </xdr:blipFill>
      <xdr:spPr>
        <a:xfrm>
          <a:off x="2028826" y="145676"/>
          <a:ext cx="638175" cy="743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178594</xdr:rowOff>
    </xdr:from>
    <xdr:to>
      <xdr:col>0</xdr:col>
      <xdr:colOff>1828800</xdr:colOff>
      <xdr:row>20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ubscription Type">
              <a:extLst>
                <a:ext uri="{FF2B5EF4-FFF2-40B4-BE49-F238E27FC236}">
                  <a16:creationId xmlns:a16="http://schemas.microsoft.com/office/drawing/2014/main" id="{6E695DE3-5D33-416B-BDCC-7EC90DBE63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69829"/>
              <a:ext cx="1828800" cy="25304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258651</xdr:colOff>
      <xdr:row>6</xdr:row>
      <xdr:rowOff>53899</xdr:rowOff>
    </xdr:from>
    <xdr:to>
      <xdr:col>4</xdr:col>
      <xdr:colOff>1718725</xdr:colOff>
      <xdr:row>15</xdr:row>
      <xdr:rowOff>12920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E1FE4B2-D15D-4600-B98E-66C00D9E53ED}"/>
            </a:ext>
          </a:extLst>
        </xdr:cNvPr>
        <xdr:cNvGrpSpPr/>
      </xdr:nvGrpSpPr>
      <xdr:grpSpPr>
        <a:xfrm>
          <a:off x="2174857" y="1353781"/>
          <a:ext cx="4485662" cy="1807992"/>
          <a:chOff x="2264503" y="1230517"/>
          <a:chExt cx="4485662" cy="1807992"/>
        </a:xfrm>
      </xdr:grpSpPr>
      <xdr:sp macro="" textlink="C̳álculos!D16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BFDE628-1925-48A1-ACDE-F72A5C0371F0}"/>
              </a:ext>
            </a:extLst>
          </xdr:cNvPr>
          <xdr:cNvSpPr/>
        </xdr:nvSpPr>
        <xdr:spPr>
          <a:xfrm>
            <a:off x="2301259" y="1270823"/>
            <a:ext cx="4448906" cy="176768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6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6F6D70FF-07BB-4FBE-9027-2E8068EA5B59}"/>
              </a:ext>
              <a:ext uri="{147F2762-F138-4A5C-976F-8EAC2B608ADB}">
                <a16:predDERef xmlns:a16="http://schemas.microsoft.com/office/drawing/2014/main" pred="{3AA218AB-1031-8A14-7E35-021EE0FB5A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52065" y="1625677"/>
            <a:ext cx="1151758" cy="1154316"/>
          </a:xfrm>
          <a:prstGeom prst="rect">
            <a:avLst/>
          </a:prstGeom>
        </xdr:spPr>
      </xdr:pic>
      <xdr:sp macro="" textlink="C̳álculos!D16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6A8E90E-F5DC-43C2-BA37-4E20E29107AB}"/>
              </a:ext>
            </a:extLst>
          </xdr:cNvPr>
          <xdr:cNvSpPr/>
        </xdr:nvSpPr>
        <xdr:spPr>
          <a:xfrm>
            <a:off x="3675839" y="1687921"/>
            <a:ext cx="2918435" cy="102983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5426475-07D9-414A-AAB9-1D78839E0CB1}" type="TxLink">
              <a:rPr lang="en-US" sz="36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R$ 600,00 </a:t>
            </a:fld>
            <a:endParaRPr lang="pt-BR" sz="36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4478894A-2457-4E75-86AE-C9C6F21B6926}"/>
              </a:ext>
            </a:extLst>
          </xdr:cNvPr>
          <xdr:cNvSpPr/>
        </xdr:nvSpPr>
        <xdr:spPr>
          <a:xfrm>
            <a:off x="2264503" y="1230517"/>
            <a:ext cx="4470267" cy="33490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369149</xdr:colOff>
      <xdr:row>6</xdr:row>
      <xdr:rowOff>46981</xdr:rowOff>
    </xdr:from>
    <xdr:to>
      <xdr:col>14</xdr:col>
      <xdr:colOff>560294</xdr:colOff>
      <xdr:row>15</xdr:row>
      <xdr:rowOff>33617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39991EE6-1812-4D7C-88A0-ADEEA0758A63}"/>
            </a:ext>
          </a:extLst>
        </xdr:cNvPr>
        <xdr:cNvGrpSpPr/>
      </xdr:nvGrpSpPr>
      <xdr:grpSpPr>
        <a:xfrm>
          <a:off x="7742620" y="1346863"/>
          <a:ext cx="5480321" cy="1835607"/>
          <a:chOff x="7361620" y="1201187"/>
          <a:chExt cx="5480321" cy="1835607"/>
        </a:xfrm>
      </xdr:grpSpPr>
      <xdr:sp macro="" textlink="C̳álculos!D16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7EDFBF67-F037-48A4-8507-5DC98CE3885E}"/>
              </a:ext>
            </a:extLst>
          </xdr:cNvPr>
          <xdr:cNvSpPr/>
        </xdr:nvSpPr>
        <xdr:spPr>
          <a:xfrm>
            <a:off x="7375977" y="1240560"/>
            <a:ext cx="5443552" cy="1796234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4400"/>
          </a:p>
        </xdr:txBody>
      </xdr:sp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8D6E7699-1F67-4179-A014-F069997DDFCB}"/>
              </a:ext>
            </a:extLst>
          </xdr:cNvPr>
          <xdr:cNvGrpSpPr/>
        </xdr:nvGrpSpPr>
        <xdr:grpSpPr>
          <a:xfrm>
            <a:off x="7361620" y="1201187"/>
            <a:ext cx="5480321" cy="1564135"/>
            <a:chOff x="7361620" y="1201187"/>
            <a:chExt cx="5480321" cy="1564135"/>
          </a:xfrm>
        </xdr:grpSpPr>
        <xdr:sp macro="" textlink="C̳álculos!D29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61427088-9286-4ABA-B141-0208BA9442B6}"/>
                </a:ext>
              </a:extLst>
            </xdr:cNvPr>
            <xdr:cNvSpPr/>
          </xdr:nvSpPr>
          <xdr:spPr>
            <a:xfrm>
              <a:off x="9427494" y="1735930"/>
              <a:ext cx="2928010" cy="1029392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D1B1BFD-E0C6-46E6-896D-5AE8850EC973}" type="TxLink">
                <a:rPr lang="en-US" sz="36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R$ 940,00 </a:t>
              </a:fld>
              <a:endParaRPr lang="pt-BR" sz="96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7" name="Retângulo: Cantos Superiores Arredondados 26">
              <a:extLst>
                <a:ext uri="{FF2B5EF4-FFF2-40B4-BE49-F238E27FC236}">
                  <a16:creationId xmlns:a16="http://schemas.microsoft.com/office/drawing/2014/main" id="{7E84FB9E-05B7-41D2-8B0C-AB5754061E25}"/>
                </a:ext>
              </a:extLst>
            </xdr:cNvPr>
            <xdr:cNvSpPr/>
          </xdr:nvSpPr>
          <xdr:spPr>
            <a:xfrm>
              <a:off x="7361620" y="1201187"/>
              <a:ext cx="5480321" cy="34232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SUBSCRIPTIONS MINECRAFT</a:t>
              </a:r>
              <a:r>
                <a:rPr lang="en-US" sz="1400" b="1" baseline="0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SEASON </a:t>
              </a:r>
              <a:r>
                <a:rPr lang="en-US" sz="14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31" name="Agrupar 30">
              <a:extLst>
                <a:ext uri="{FF2B5EF4-FFF2-40B4-BE49-F238E27FC236}">
                  <a16:creationId xmlns:a16="http://schemas.microsoft.com/office/drawing/2014/main" id="{9668C83C-EC39-40DC-ADC2-A5AF66D23EE8}"/>
                </a:ext>
              </a:extLst>
            </xdr:cNvPr>
            <xdr:cNvGrpSpPr/>
          </xdr:nvGrpSpPr>
          <xdr:grpSpPr>
            <a:xfrm>
              <a:off x="7496735" y="1893438"/>
              <a:ext cx="1778076" cy="714376"/>
              <a:chOff x="3495675" y="5400674"/>
              <a:chExt cx="1549476" cy="752476"/>
            </a:xfrm>
          </xdr:grpSpPr>
          <xdr:pic>
            <xdr:nvPicPr>
              <xdr:cNvPr id="32" name="Imagem 31">
                <a:extLst>
                  <a:ext uri="{FF2B5EF4-FFF2-40B4-BE49-F238E27FC236}">
                    <a16:creationId xmlns:a16="http://schemas.microsoft.com/office/drawing/2014/main" id="{36665862-D111-4265-8B21-797BE9D4B95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33" name="Gráfico 32">
                <a:extLst>
                  <a:ext uri="{FF2B5EF4-FFF2-40B4-BE49-F238E27FC236}">
                    <a16:creationId xmlns:a16="http://schemas.microsoft.com/office/drawing/2014/main" id="{CB72129E-AC37-4CB3-AE3D-4A1EE13E3E6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1</xdr:col>
      <xdr:colOff>267295</xdr:colOff>
      <xdr:row>16</xdr:row>
      <xdr:rowOff>27004</xdr:rowOff>
    </xdr:from>
    <xdr:to>
      <xdr:col>14</xdr:col>
      <xdr:colOff>646113</xdr:colOff>
      <xdr:row>38</xdr:row>
      <xdr:rowOff>181242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0A3A8B17-1EF8-42B4-A164-B79ECFF0A562}"/>
            </a:ext>
          </a:extLst>
        </xdr:cNvPr>
        <xdr:cNvGrpSpPr/>
      </xdr:nvGrpSpPr>
      <xdr:grpSpPr>
        <a:xfrm>
          <a:off x="2183501" y="3355151"/>
          <a:ext cx="11125259" cy="4098709"/>
          <a:chOff x="2049354" y="3369268"/>
          <a:chExt cx="11142068" cy="4135687"/>
        </a:xfrm>
      </xdr:grpSpPr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290C7B4F-9687-4403-A022-59AAEB889FBB}"/>
              </a:ext>
            </a:extLst>
          </xdr:cNvPr>
          <xdr:cNvGraphicFramePr>
            <a:graphicFrameLocks/>
          </xdr:cNvGraphicFramePr>
        </xdr:nvGraphicFramePr>
        <xdr:xfrm>
          <a:off x="2049354" y="3685622"/>
          <a:ext cx="11142068" cy="38193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6" name="Retângulo: Cantos Superiores Arredondados 35">
            <a:extLst>
              <a:ext uri="{FF2B5EF4-FFF2-40B4-BE49-F238E27FC236}">
                <a16:creationId xmlns:a16="http://schemas.microsoft.com/office/drawing/2014/main" id="{F1BBBA97-5FAB-4908-9116-5718DB4E7A28}"/>
              </a:ext>
            </a:extLst>
          </xdr:cNvPr>
          <xdr:cNvSpPr/>
        </xdr:nvSpPr>
        <xdr:spPr>
          <a:xfrm>
            <a:off x="2050746" y="3369268"/>
            <a:ext cx="11138242" cy="34557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XBOX</a:t>
            </a:r>
            <a:r>
              <a:rPr lang="en-US" sz="20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GAME PASS</a:t>
            </a:r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459442</xdr:colOff>
      <xdr:row>1</xdr:row>
      <xdr:rowOff>100854</xdr:rowOff>
    </xdr:from>
    <xdr:to>
      <xdr:col>0</xdr:col>
      <xdr:colOff>1230967</xdr:colOff>
      <xdr:row>2</xdr:row>
      <xdr:rowOff>309844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5AB0BF1A-308A-4E32-88FC-31DF130B09EC}"/>
            </a:ext>
          </a:extLst>
        </xdr:cNvPr>
        <xdr:cNvSpPr/>
      </xdr:nvSpPr>
      <xdr:spPr>
        <a:xfrm>
          <a:off x="459442" y="280148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268941</xdr:colOff>
      <xdr:row>2</xdr:row>
      <xdr:rowOff>437031</xdr:rowOff>
    </xdr:from>
    <xdr:to>
      <xdr:col>0</xdr:col>
      <xdr:colOff>1770529</xdr:colOff>
      <xdr:row>6</xdr:row>
      <xdr:rowOff>22413</xdr:rowOff>
    </xdr:to>
    <xdr:sp macro="" textlink="">
      <xdr:nvSpPr>
        <xdr:cNvPr id="43" name="Retângulo: Cantos Arredondados 42">
          <a:extLst>
            <a:ext uri="{FF2B5EF4-FFF2-40B4-BE49-F238E27FC236}">
              <a16:creationId xmlns:a16="http://schemas.microsoft.com/office/drawing/2014/main" id="{A6E068D4-37C6-4E08-8B6E-9D4D8F98AFF7}"/>
            </a:ext>
          </a:extLst>
        </xdr:cNvPr>
        <xdr:cNvSpPr/>
      </xdr:nvSpPr>
      <xdr:spPr>
        <a:xfrm>
          <a:off x="268941" y="1064560"/>
          <a:ext cx="1501588" cy="36979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Bem vindo!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720795254631" createdVersion="8" refreshedVersion="8" minRefreshableVersion="3" recordCount="295" xr:uid="{B463C0CA-1E0C-4198-8491-7D5255EE906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16350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F647B-5345-475E-9861-7CA231091819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compactData="0" multipleFieldFilters="0" chartFormat="8">
  <location ref="B15:C19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6D6F8-3E49-438D-A1E8-20D9FAA8C4CD}" name="tbl_total_anu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compactData="0" multipleFieldFilters="0" chartFormat="8">
  <location ref="B6:C9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F47DB-22B2-4DF3-B319-056C2FE0942E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compactData="0" multipleFieldFilters="0" chartFormat="8">
  <location ref="B25:C29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F844B85-E157-4E2C-ABBF-A004C5402355}" sourceName="Subscription Type">
  <pivotTables>
    <pivotTable tabId="3" name="tbl_total_anual"/>
    <pivotTable tabId="3" name="Tabela dinâmica1"/>
    <pivotTable tabId="3" name="Tabela dinâmica2"/>
  </pivotTables>
  <data>
    <tabular pivotCacheId="15163504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B139B01-F290-4A34-B28B-64FA27775798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29"/>
  <sheetViews>
    <sheetView showGridLines="0" workbookViewId="0">
      <selection activeCell="B22" sqref="B22"/>
    </sheetView>
  </sheetViews>
  <sheetFormatPr defaultRowHeight="14.25"/>
  <cols>
    <col min="2" max="2" width="15.625" bestFit="1" customWidth="1"/>
    <col min="3" max="3" width="35.125" bestFit="1" customWidth="1"/>
    <col min="4" max="4" width="18.7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4">
      <c r="B2" t="s">
        <v>313</v>
      </c>
    </row>
    <row r="3" spans="2:4">
      <c r="B3" s="14" t="s">
        <v>314</v>
      </c>
    </row>
    <row r="4" spans="2:4">
      <c r="B4" s="12" t="s">
        <v>17</v>
      </c>
      <c r="C4" t="s">
        <v>31</v>
      </c>
    </row>
    <row r="6" spans="2:4">
      <c r="B6" s="12" t="s">
        <v>15</v>
      </c>
      <c r="C6" t="s">
        <v>315</v>
      </c>
    </row>
    <row r="7" spans="2:4">
      <c r="B7" t="s">
        <v>30</v>
      </c>
      <c r="C7" s="13">
        <v>217</v>
      </c>
    </row>
    <row r="8" spans="2:4">
      <c r="B8" t="s">
        <v>26</v>
      </c>
      <c r="C8" s="13">
        <v>1537</v>
      </c>
    </row>
    <row r="9" spans="2:4">
      <c r="B9" t="s">
        <v>316</v>
      </c>
      <c r="C9" s="13">
        <v>1754</v>
      </c>
    </row>
    <row r="12" spans="2:4">
      <c r="B12" t="s">
        <v>317</v>
      </c>
    </row>
    <row r="13" spans="2:4">
      <c r="B13" s="12" t="s">
        <v>17</v>
      </c>
      <c r="C13" t="s">
        <v>31</v>
      </c>
    </row>
    <row r="15" spans="2:4">
      <c r="B15" s="12" t="s">
        <v>13</v>
      </c>
      <c r="C15" t="s">
        <v>319</v>
      </c>
    </row>
    <row r="16" spans="2:4">
      <c r="B16" t="s">
        <v>29</v>
      </c>
      <c r="C16" s="15">
        <v>0</v>
      </c>
      <c r="D16" s="17">
        <f>GETPIVOTDATA("EA Play Season Pass
Price",$B$15)</f>
        <v>600</v>
      </c>
    </row>
    <row r="17" spans="2:4">
      <c r="B17" t="s">
        <v>34</v>
      </c>
      <c r="C17" s="15">
        <v>0</v>
      </c>
    </row>
    <row r="18" spans="2:4">
      <c r="B18" t="s">
        <v>25</v>
      </c>
      <c r="C18" s="15">
        <v>600</v>
      </c>
    </row>
    <row r="19" spans="2:4">
      <c r="B19" t="s">
        <v>316</v>
      </c>
      <c r="C19" s="15">
        <v>600</v>
      </c>
    </row>
    <row r="22" spans="2:4">
      <c r="B22" t="s">
        <v>320</v>
      </c>
    </row>
    <row r="23" spans="2:4">
      <c r="B23" s="12" t="s">
        <v>17</v>
      </c>
      <c r="C23" t="s">
        <v>31</v>
      </c>
    </row>
    <row r="25" spans="2:4">
      <c r="B25" s="12" t="s">
        <v>13</v>
      </c>
      <c r="C25" t="s">
        <v>321</v>
      </c>
    </row>
    <row r="26" spans="2:4">
      <c r="B26" t="s">
        <v>29</v>
      </c>
      <c r="C26" s="15">
        <v>0</v>
      </c>
    </row>
    <row r="27" spans="2:4">
      <c r="B27" t="s">
        <v>34</v>
      </c>
      <c r="C27" s="15">
        <v>540</v>
      </c>
    </row>
    <row r="28" spans="2:4">
      <c r="B28" t="s">
        <v>25</v>
      </c>
      <c r="C28" s="15">
        <v>400</v>
      </c>
    </row>
    <row r="29" spans="2:4">
      <c r="B29" t="s">
        <v>316</v>
      </c>
      <c r="C29" s="15">
        <v>940</v>
      </c>
      <c r="D29" s="18">
        <f>GETPIVOTDATA("Minecraft Season Pass Price",$B$25)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C109"/>
  <sheetViews>
    <sheetView showGridLines="0" tabSelected="1" zoomScale="85" zoomScaleNormal="85" workbookViewId="0">
      <selection activeCell="A23" sqref="A23"/>
    </sheetView>
  </sheetViews>
  <sheetFormatPr defaultRowHeight="14.25"/>
  <cols>
    <col min="1" max="1" width="25.125" style="4" customWidth="1"/>
    <col min="2" max="2" width="3.625" customWidth="1"/>
    <col min="3" max="3" width="16.5" bestFit="1" customWidth="1"/>
    <col min="4" max="4" width="19.5" bestFit="1" customWidth="1"/>
    <col min="5" max="5" width="23" bestFit="1" customWidth="1"/>
    <col min="12" max="12" width="6.625" customWidth="1"/>
  </cols>
  <sheetData>
    <row r="2" spans="2:29" ht="35.25" customHeight="1" thickBot="1">
      <c r="C2" s="20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9"/>
      <c r="Q2" s="19"/>
    </row>
    <row r="3" spans="2:29" ht="26.25" customHeight="1" thickTop="1"/>
    <row r="4" spans="2:29" ht="8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2:29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2:29" ht="10.5" customHeight="1">
      <c r="B6" s="7"/>
      <c r="C6" s="7" t="s">
        <v>322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2:29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9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2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29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2:29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2:29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2:29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2:29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2:29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2:29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2:29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2:2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2:29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2:29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2:29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2:29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2:29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2:29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2:29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2:29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2:29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2:29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2:29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2:29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2:29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2:29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2:29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2:2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2:2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2:2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2:2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2:2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2:29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2:29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2:29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2:29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2:29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2:29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2:2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2:29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2:29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2:29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2:29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2:29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2:29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2:29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2:29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2:29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2:29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2:29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2:29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2:29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2:29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2:29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2:29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2:29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2:29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2:29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2:29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2:29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2:29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2:29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2:29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2:29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2:29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2:29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2:29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2:29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2:29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2:29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2:29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2:29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2:29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2:29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2:29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2:29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2:29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2:29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2:29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2:29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2:29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2:29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2:29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2:29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2:29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2:29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2:29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2:29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2:29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2:29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2:29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2:29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2:29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2:29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2:29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2:29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2:29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2:29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2:29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8FE65-41AA-4D41-A42E-97C2B5821B0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Alex Sasaki</cp:lastModifiedBy>
  <cp:revision/>
  <dcterms:created xsi:type="dcterms:W3CDTF">2024-12-19T13:13:10Z</dcterms:created>
  <dcterms:modified xsi:type="dcterms:W3CDTF">2026-01-22T00:12:30Z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